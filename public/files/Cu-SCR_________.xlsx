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20250403绿谷环保\技术-会议文件\SCR\催化剂\"/>
    </mc:Choice>
  </mc:AlternateContent>
  <xr:revisionPtr revIDLastSave="0" documentId="13_ncr:1_{5306DEAC-FC5E-4A98-8713-59295442C2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200C" sheetId="4" r:id="rId2"/>
    <sheet name="250C" sheetId="5" r:id="rId3"/>
    <sheet name="300C" sheetId="9" r:id="rId4"/>
    <sheet name="350C" sheetId="10" r:id="rId5"/>
    <sheet name="400C" sheetId="11" r:id="rId6"/>
    <sheet name="450C" sheetId="12" r:id="rId7"/>
    <sheet name="500C" sheetId="6" r:id="rId8"/>
    <sheet name="550C" sheetId="7" r:id="rId9"/>
    <sheet name="600C" sheetId="8" r:id="rId10"/>
    <sheet name="Sheet2" sheetId="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0" i="1" l="1"/>
  <c r="P40" i="1"/>
  <c r="T30" i="1"/>
  <c r="U30" i="1" s="1"/>
  <c r="S36" i="1"/>
  <c r="R36" i="1"/>
  <c r="T33" i="1"/>
  <c r="S33" i="1"/>
  <c r="R33" i="1"/>
</calcChain>
</file>

<file path=xl/sharedStrings.xml><?xml version="1.0" encoding="utf-8"?>
<sst xmlns="http://schemas.openxmlformats.org/spreadsheetml/2006/main" count="111" uniqueCount="17">
  <si>
    <t>Temp</t>
  </si>
  <si>
    <t>ANR</t>
  </si>
  <si>
    <t>NOx con (%)</t>
  </si>
  <si>
    <t>NH3 slip (ppm)</t>
  </si>
  <si>
    <t>N2O(ppm)</t>
  </si>
  <si>
    <t>200C</t>
  </si>
  <si>
    <t>250C</t>
  </si>
  <si>
    <t>300C</t>
  </si>
  <si>
    <t>350C</t>
  </si>
  <si>
    <t>400C</t>
  </si>
  <si>
    <t>450C</t>
  </si>
  <si>
    <t>500C</t>
  </si>
  <si>
    <t>550C</t>
  </si>
  <si>
    <t>600C</t>
  </si>
  <si>
    <t>Degreen</t>
    <phoneticPr fontId="1" type="noConversion"/>
  </si>
  <si>
    <t>550C-500h Aged</t>
    <phoneticPr fontId="1" type="noConversion"/>
  </si>
  <si>
    <t>7*7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</si>
</sst>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2.xml"/><Relationship Id="rId5" Type="http://schemas.openxmlformats.org/officeDocument/2006/relationships/chartsheet" Target="chartsheets/sheet4.xml"/><Relationship Id="rId15" Type="http://schemas.openxmlformats.org/officeDocument/2006/relationships/calcChain" Target="calcChain.xml"/><Relationship Id="rId10" Type="http://schemas.openxmlformats.org/officeDocument/2006/relationships/chartsheet" Target="chartsheets/sheet9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5048118985127"/>
          <c:y val="5.0925925925925923E-2"/>
          <c:w val="0.82936351706036748"/>
          <c:h val="0.7527624671916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Degreen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data!$C$51:$C$56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data!$D$51:$D$56</c:f>
              <c:numCache>
                <c:formatCode>0</c:formatCode>
                <c:ptCount val="6"/>
                <c:pt idx="0">
                  <c:v>59.93</c:v>
                </c:pt>
                <c:pt idx="1">
                  <c:v>78.67</c:v>
                </c:pt>
                <c:pt idx="2">
                  <c:v>86.97</c:v>
                </c:pt>
                <c:pt idx="3">
                  <c:v>93.74</c:v>
                </c:pt>
                <c:pt idx="4">
                  <c:v>98.12</c:v>
                </c:pt>
                <c:pt idx="5">
                  <c:v>99.85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1F-4FD4-AC88-BF14F5450F0C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550C-500h Aged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data!$I$51:$I$56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data!$J$51:$J$56</c:f>
              <c:numCache>
                <c:formatCode>0</c:formatCode>
                <c:ptCount val="6"/>
                <c:pt idx="0">
                  <c:v>58.12</c:v>
                </c:pt>
                <c:pt idx="1">
                  <c:v>77.22</c:v>
                </c:pt>
                <c:pt idx="2">
                  <c:v>85.94</c:v>
                </c:pt>
                <c:pt idx="3">
                  <c:v>94.71</c:v>
                </c:pt>
                <c:pt idx="4">
                  <c:v>98.98</c:v>
                </c:pt>
                <c:pt idx="5">
                  <c:v>99.52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1F-4FD4-AC88-BF14F5450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3995391"/>
        <c:axId val="1744007455"/>
      </c:scatterChart>
      <c:valAx>
        <c:axId val="174399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ANR</a:t>
                </a:r>
                <a:r>
                  <a:rPr lang="zh-CN" altLang="en-US" baseline="0"/>
                  <a:t> </a:t>
                </a:r>
                <a:r>
                  <a:rPr lang="en-US" altLang="zh-CN" baseline="0"/>
                  <a:t>[-]</a:t>
                </a:r>
                <a:endParaRPr lang="en-US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4007455"/>
        <c:crosses val="autoZero"/>
        <c:crossBetween val="midCat"/>
      </c:valAx>
      <c:valAx>
        <c:axId val="174400745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 conversion [%]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3995391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997775590551181"/>
          <c:y val="0.24123797025371829"/>
          <c:w val="0.19843088363954503"/>
          <c:h val="0.162726534183227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71067493940051E-2"/>
          <c:y val="7.9120413157176175E-2"/>
          <c:w val="0.81553318688562382"/>
          <c:h val="0.82345463173979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Degreen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data!$C$3:$C$8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data!$D$3:$D$8</c:f>
              <c:numCache>
                <c:formatCode>0</c:formatCode>
                <c:ptCount val="6"/>
                <c:pt idx="0">
                  <c:v>56.904333333333334</c:v>
                </c:pt>
                <c:pt idx="1">
                  <c:v>77.05</c:v>
                </c:pt>
                <c:pt idx="2">
                  <c:v>85.38</c:v>
                </c:pt>
                <c:pt idx="3">
                  <c:v>86.01</c:v>
                </c:pt>
                <c:pt idx="4">
                  <c:v>86.82</c:v>
                </c:pt>
                <c:pt idx="5">
                  <c:v>98.39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72-4ABA-8283-42CD31E35E66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550C-500h Aged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data!$I$3:$I$8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data!$J$3:$J$8</c:f>
              <c:numCache>
                <c:formatCode>0</c:formatCode>
                <c:ptCount val="6"/>
                <c:pt idx="0">
                  <c:v>56.53</c:v>
                </c:pt>
                <c:pt idx="1">
                  <c:v>75.900000000000006</c:v>
                </c:pt>
                <c:pt idx="2">
                  <c:v>73.88</c:v>
                </c:pt>
                <c:pt idx="3">
                  <c:v>74.83</c:v>
                </c:pt>
                <c:pt idx="4">
                  <c:v>73.98</c:v>
                </c:pt>
                <c:pt idx="5">
                  <c:v>72.400000000000006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72-4ABA-8283-42CD31E35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16271"/>
        <c:axId val="532983839"/>
      </c:scatterChart>
      <c:valAx>
        <c:axId val="52751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ANR [-]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983839"/>
        <c:crosses val="autoZero"/>
        <c:crossBetween val="midCat"/>
      </c:valAx>
      <c:valAx>
        <c:axId val="532983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 conversion</a:t>
                </a:r>
                <a:r>
                  <a:rPr lang="en-US" altLang="zh-CN" baseline="0"/>
                  <a:t> [%]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51627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6806479530261518"/>
          <c:y val="0.28140031296603585"/>
          <c:w val="0.11659977068852145"/>
          <c:h val="0.1055964996114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71067493940051E-2"/>
          <c:y val="7.9120413157176175E-2"/>
          <c:w val="0.81553318688562382"/>
          <c:h val="0.82345463173979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Degreen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data!$C$11:$C$16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data!$D$11:$D$16</c:f>
              <c:numCache>
                <c:formatCode>0</c:formatCode>
                <c:ptCount val="6"/>
                <c:pt idx="0">
                  <c:v>59.42</c:v>
                </c:pt>
                <c:pt idx="1">
                  <c:v>79.42</c:v>
                </c:pt>
                <c:pt idx="2">
                  <c:v>88.83</c:v>
                </c:pt>
                <c:pt idx="3">
                  <c:v>96.14</c:v>
                </c:pt>
                <c:pt idx="4">
                  <c:v>98.39</c:v>
                </c:pt>
                <c:pt idx="5">
                  <c:v>98.39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C7-4085-9444-5F04869B97ED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550C-500h Aged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data!$I$11:$I$16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data!$J$11:$J$16</c:f>
              <c:numCache>
                <c:formatCode>0</c:formatCode>
                <c:ptCount val="6"/>
                <c:pt idx="0">
                  <c:v>59.21</c:v>
                </c:pt>
                <c:pt idx="1">
                  <c:v>78.39</c:v>
                </c:pt>
                <c:pt idx="2">
                  <c:v>89.2</c:v>
                </c:pt>
                <c:pt idx="3">
                  <c:v>97.78</c:v>
                </c:pt>
                <c:pt idx="4">
                  <c:v>98.81</c:v>
                </c:pt>
                <c:pt idx="5">
                  <c:v>98.92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C7-4085-9444-5F04869B9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16271"/>
        <c:axId val="532983839"/>
      </c:scatterChart>
      <c:valAx>
        <c:axId val="52751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ANR [-]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983839"/>
        <c:crosses val="autoZero"/>
        <c:crossBetween val="midCat"/>
      </c:valAx>
      <c:valAx>
        <c:axId val="532983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 conversion</a:t>
                </a:r>
                <a:r>
                  <a:rPr lang="en-US" altLang="zh-CN" baseline="0"/>
                  <a:t> [%]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51627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6806479530261518"/>
          <c:y val="0.28140031296603585"/>
          <c:w val="0.11659977068852145"/>
          <c:h val="0.1055964996114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71067493940051E-2"/>
          <c:y val="7.9120413157176175E-2"/>
          <c:w val="0.81553318688562382"/>
          <c:h val="0.82345463173979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Degreen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data!$C$19:$C$24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data!$D$19:$D$24</c:f>
              <c:numCache>
                <c:formatCode>0</c:formatCode>
                <c:ptCount val="6"/>
                <c:pt idx="0">
                  <c:v>59.43</c:v>
                </c:pt>
                <c:pt idx="1">
                  <c:v>79.540000000000006</c:v>
                </c:pt>
                <c:pt idx="2">
                  <c:v>88.71</c:v>
                </c:pt>
                <c:pt idx="3">
                  <c:v>96.82</c:v>
                </c:pt>
                <c:pt idx="4">
                  <c:v>99.74</c:v>
                </c:pt>
                <c:pt idx="5">
                  <c:v>98.39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87-46FF-BBB6-390AFC836005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550C-500h Aged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data!$I$19:$I$24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data!$J$19:$J$24</c:f>
              <c:numCache>
                <c:formatCode>0</c:formatCode>
                <c:ptCount val="6"/>
                <c:pt idx="0">
                  <c:v>58.74</c:v>
                </c:pt>
                <c:pt idx="1">
                  <c:v>78.11</c:v>
                </c:pt>
                <c:pt idx="2">
                  <c:v>88.1</c:v>
                </c:pt>
                <c:pt idx="3">
                  <c:v>97.62</c:v>
                </c:pt>
                <c:pt idx="4">
                  <c:v>99.33</c:v>
                </c:pt>
                <c:pt idx="5">
                  <c:v>99.58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87-46FF-BBB6-390AFC836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16271"/>
        <c:axId val="532983839"/>
      </c:scatterChart>
      <c:valAx>
        <c:axId val="52751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ANR [-]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983839"/>
        <c:crosses val="autoZero"/>
        <c:crossBetween val="midCat"/>
      </c:valAx>
      <c:valAx>
        <c:axId val="532983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 conversion</a:t>
                </a:r>
                <a:r>
                  <a:rPr lang="en-US" altLang="zh-CN" baseline="0"/>
                  <a:t> [%]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51627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6806479530261518"/>
          <c:y val="0.28140031296603585"/>
          <c:w val="0.11659977068852145"/>
          <c:h val="0.1055964996114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71067493940051E-2"/>
          <c:y val="7.9120413157176175E-2"/>
          <c:w val="0.81553318688562382"/>
          <c:h val="0.82345463173979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Degreen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data!$C$27:$C$32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data!$D$27:$D$32</c:f>
              <c:numCache>
                <c:formatCode>0</c:formatCode>
                <c:ptCount val="6"/>
                <c:pt idx="0">
                  <c:v>59.93</c:v>
                </c:pt>
                <c:pt idx="1">
                  <c:v>79.97</c:v>
                </c:pt>
                <c:pt idx="2">
                  <c:v>88.82</c:v>
                </c:pt>
                <c:pt idx="3">
                  <c:v>97.33</c:v>
                </c:pt>
                <c:pt idx="4">
                  <c:v>99.83</c:v>
                </c:pt>
                <c:pt idx="5">
                  <c:v>99.85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A3-454D-816B-0F88E93D8A54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550C-500h Aged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data!$I$27:$I$32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data!$J$27:$J$32</c:f>
              <c:numCache>
                <c:formatCode>0</c:formatCode>
                <c:ptCount val="6"/>
                <c:pt idx="0">
                  <c:v>59.17</c:v>
                </c:pt>
                <c:pt idx="1">
                  <c:v>78.77</c:v>
                </c:pt>
                <c:pt idx="2">
                  <c:v>88.26</c:v>
                </c:pt>
                <c:pt idx="3">
                  <c:v>96.89</c:v>
                </c:pt>
                <c:pt idx="4">
                  <c:v>99.11</c:v>
                </c:pt>
                <c:pt idx="5">
                  <c:v>99.54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A3-454D-816B-0F88E93D8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16271"/>
        <c:axId val="532983839"/>
      </c:scatterChart>
      <c:valAx>
        <c:axId val="52751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ANR [-]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983839"/>
        <c:crosses val="autoZero"/>
        <c:crossBetween val="midCat"/>
      </c:valAx>
      <c:valAx>
        <c:axId val="532983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 conversion</a:t>
                </a:r>
                <a:r>
                  <a:rPr lang="en-US" altLang="zh-CN" baseline="0"/>
                  <a:t> [%]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51627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6806479530261518"/>
          <c:y val="0.28140031296603585"/>
          <c:w val="0.11659977068852145"/>
          <c:h val="0.1055964996114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71067493940051E-2"/>
          <c:y val="7.9120413157176175E-2"/>
          <c:w val="0.81553318688562382"/>
          <c:h val="0.82345463173979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Degreen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data!$C$35:$C$40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data!$D$35:$D$40</c:f>
              <c:numCache>
                <c:formatCode>0</c:formatCode>
                <c:ptCount val="6"/>
                <c:pt idx="0">
                  <c:v>59.77</c:v>
                </c:pt>
                <c:pt idx="1">
                  <c:v>79.239999999999995</c:v>
                </c:pt>
                <c:pt idx="2">
                  <c:v>88.17</c:v>
                </c:pt>
                <c:pt idx="3">
                  <c:v>96.54</c:v>
                </c:pt>
                <c:pt idx="4">
                  <c:v>99.84</c:v>
                </c:pt>
                <c:pt idx="5">
                  <c:v>99.89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9B-437D-AABA-F9600B064F10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550C-500h Aged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data!$I$35:$I$40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data!$J$35:$J$40</c:f>
              <c:numCache>
                <c:formatCode>0</c:formatCode>
                <c:ptCount val="6"/>
                <c:pt idx="0">
                  <c:v>58.2</c:v>
                </c:pt>
                <c:pt idx="1">
                  <c:v>77.88</c:v>
                </c:pt>
                <c:pt idx="2">
                  <c:v>87.07</c:v>
                </c:pt>
                <c:pt idx="3">
                  <c:v>95.32</c:v>
                </c:pt>
                <c:pt idx="4">
                  <c:v>99.04</c:v>
                </c:pt>
                <c:pt idx="5">
                  <c:v>99.5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9B-437D-AABA-F9600B064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16271"/>
        <c:axId val="532983839"/>
      </c:scatterChart>
      <c:valAx>
        <c:axId val="52751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ANR [-]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983839"/>
        <c:crosses val="autoZero"/>
        <c:crossBetween val="midCat"/>
      </c:valAx>
      <c:valAx>
        <c:axId val="532983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 conversion</a:t>
                </a:r>
                <a:r>
                  <a:rPr lang="en-US" altLang="zh-CN" baseline="0"/>
                  <a:t> [%]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51627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6806479530261518"/>
          <c:y val="0.28140031296603585"/>
          <c:w val="0.11659977068852145"/>
          <c:h val="0.1055964996114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71067493940051E-2"/>
          <c:y val="7.9120413157176175E-2"/>
          <c:w val="0.81553318688562382"/>
          <c:h val="0.82345463173979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Degreen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data!$C$43:$C$48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data!$D$43:$D$48</c:f>
              <c:numCache>
                <c:formatCode>0</c:formatCode>
                <c:ptCount val="6"/>
                <c:pt idx="0">
                  <c:v>59.99</c:v>
                </c:pt>
                <c:pt idx="1">
                  <c:v>79.03</c:v>
                </c:pt>
                <c:pt idx="2">
                  <c:v>87.95</c:v>
                </c:pt>
                <c:pt idx="3">
                  <c:v>95.32</c:v>
                </c:pt>
                <c:pt idx="4">
                  <c:v>99.72</c:v>
                </c:pt>
                <c:pt idx="5">
                  <c:v>99.9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62-4A00-971D-FF49C9B6EBB0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550C-500h Aged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data!$I$43:$I$48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data!$J$43:$J$48</c:f>
              <c:numCache>
                <c:formatCode>0</c:formatCode>
                <c:ptCount val="6"/>
                <c:pt idx="0">
                  <c:v>57.62</c:v>
                </c:pt>
                <c:pt idx="1">
                  <c:v>76.94</c:v>
                </c:pt>
                <c:pt idx="2">
                  <c:v>86.1</c:v>
                </c:pt>
                <c:pt idx="3">
                  <c:v>94.45</c:v>
                </c:pt>
                <c:pt idx="4">
                  <c:v>99.04</c:v>
                </c:pt>
                <c:pt idx="5">
                  <c:v>99.55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62-4A00-971D-FF49C9B6E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16271"/>
        <c:axId val="532983839"/>
      </c:scatterChart>
      <c:valAx>
        <c:axId val="52751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ANR [-]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983839"/>
        <c:crosses val="autoZero"/>
        <c:crossBetween val="midCat"/>
      </c:valAx>
      <c:valAx>
        <c:axId val="532983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 conversion</a:t>
                </a:r>
                <a:r>
                  <a:rPr lang="en-US" altLang="zh-CN" baseline="0"/>
                  <a:t> [%]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51627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6806479530261518"/>
          <c:y val="0.28140031296603585"/>
          <c:w val="0.11659977068852145"/>
          <c:h val="0.1055964996114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71067493940051E-2"/>
          <c:y val="7.9120413157176175E-2"/>
          <c:w val="0.81553318688562382"/>
          <c:h val="0.82345463173979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Degreen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data!$C$51:$C$56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data!$D$59:$D$64</c:f>
              <c:numCache>
                <c:formatCode>0</c:formatCode>
                <c:ptCount val="6"/>
                <c:pt idx="0">
                  <c:v>59.95</c:v>
                </c:pt>
                <c:pt idx="1">
                  <c:v>77.48</c:v>
                </c:pt>
                <c:pt idx="2">
                  <c:v>85.09</c:v>
                </c:pt>
                <c:pt idx="3">
                  <c:v>91.1</c:v>
                </c:pt>
                <c:pt idx="4">
                  <c:v>95.4</c:v>
                </c:pt>
                <c:pt idx="5">
                  <c:v>98.79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99-477A-9A58-5CD8B33C48CA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550C-500h Aged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data!$I$51:$I$56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data!$J$51:$J$56</c:f>
              <c:numCache>
                <c:formatCode>0</c:formatCode>
                <c:ptCount val="6"/>
                <c:pt idx="0">
                  <c:v>58.12</c:v>
                </c:pt>
                <c:pt idx="1">
                  <c:v>77.22</c:v>
                </c:pt>
                <c:pt idx="2">
                  <c:v>85.94</c:v>
                </c:pt>
                <c:pt idx="3">
                  <c:v>94.71</c:v>
                </c:pt>
                <c:pt idx="4">
                  <c:v>98.98</c:v>
                </c:pt>
                <c:pt idx="5">
                  <c:v>99.52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99-477A-9A58-5CD8B33C4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16271"/>
        <c:axId val="532983839"/>
      </c:scatterChart>
      <c:valAx>
        <c:axId val="52751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ANR [-]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983839"/>
        <c:crosses val="autoZero"/>
        <c:crossBetween val="midCat"/>
      </c:valAx>
      <c:valAx>
        <c:axId val="532983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 conversion</a:t>
                </a:r>
                <a:r>
                  <a:rPr lang="en-US" altLang="zh-CN" baseline="0"/>
                  <a:t> [%]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51627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6806479530261518"/>
          <c:y val="0.28140031296603585"/>
          <c:w val="0.11659977068852145"/>
          <c:h val="0.1055964996114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71067493940051E-2"/>
          <c:y val="7.9120413157176175E-2"/>
          <c:w val="0.81553318688562382"/>
          <c:h val="0.82345463173979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Degreen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data!$C$59:$C$64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data!$D$59:$D$64</c:f>
              <c:numCache>
                <c:formatCode>0</c:formatCode>
                <c:ptCount val="6"/>
                <c:pt idx="0">
                  <c:v>59.95</c:v>
                </c:pt>
                <c:pt idx="1">
                  <c:v>77.48</c:v>
                </c:pt>
                <c:pt idx="2">
                  <c:v>85.09</c:v>
                </c:pt>
                <c:pt idx="3">
                  <c:v>91.1</c:v>
                </c:pt>
                <c:pt idx="4">
                  <c:v>95.4</c:v>
                </c:pt>
                <c:pt idx="5">
                  <c:v>98.79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CC-4D24-BE74-DC02A378DF93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550C-500h Aged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data!$I$59:$I$64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data!$J$59:$J$64</c:f>
              <c:numCache>
                <c:formatCode>0</c:formatCode>
                <c:ptCount val="6"/>
                <c:pt idx="0">
                  <c:v>57.87</c:v>
                </c:pt>
                <c:pt idx="1">
                  <c:v>78.09</c:v>
                </c:pt>
                <c:pt idx="2">
                  <c:v>87.16</c:v>
                </c:pt>
                <c:pt idx="3">
                  <c:v>95.1</c:v>
                </c:pt>
                <c:pt idx="4">
                  <c:v>98.87</c:v>
                </c:pt>
                <c:pt idx="5">
                  <c:v>99.44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CC-4D24-BE74-DC02A378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16271"/>
        <c:axId val="532983839"/>
      </c:scatterChart>
      <c:valAx>
        <c:axId val="52751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ANR [-]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983839"/>
        <c:crosses val="autoZero"/>
        <c:crossBetween val="midCat"/>
      </c:valAx>
      <c:valAx>
        <c:axId val="532983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 conversion</a:t>
                </a:r>
                <a:r>
                  <a:rPr lang="en-US" altLang="zh-CN" baseline="0"/>
                  <a:t> [%]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51627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6806479530261518"/>
          <c:y val="0.28140031296603585"/>
          <c:w val="0.11659977068852145"/>
          <c:h val="0.1055964996114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871067493940051E-2"/>
          <c:y val="7.9120413157176175E-2"/>
          <c:w val="0.81553318688562382"/>
          <c:h val="0.823454631739797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Degreen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data!$C$68:$C$73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data!$D$68:$D$73</c:f>
              <c:numCache>
                <c:formatCode>0</c:formatCode>
                <c:ptCount val="6"/>
                <c:pt idx="0">
                  <c:v>59.15</c:v>
                </c:pt>
                <c:pt idx="1">
                  <c:v>75.47</c:v>
                </c:pt>
                <c:pt idx="2">
                  <c:v>82.08</c:v>
                </c:pt>
                <c:pt idx="3">
                  <c:v>87.32</c:v>
                </c:pt>
                <c:pt idx="4">
                  <c:v>91.38</c:v>
                </c:pt>
                <c:pt idx="5">
                  <c:v>95.77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5F-4B30-B00B-FCAFA1E272DA}"/>
            </c:ext>
          </c:extLst>
        </c:ser>
        <c:ser>
          <c:idx val="1"/>
          <c:order val="1"/>
          <c:tx>
            <c:strRef>
              <c:f>data!$H$1</c:f>
              <c:strCache>
                <c:ptCount val="1"/>
                <c:pt idx="0">
                  <c:v>550C-500h Aged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data!$I$68:$I$73</c:f>
              <c:numCache>
                <c:formatCode>General</c:formatCode>
                <c:ptCount val="6"/>
                <c:pt idx="0">
                  <c:v>0.6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1.3</c:v>
                </c:pt>
              </c:numCache>
            </c:numRef>
          </c:xVal>
          <c:yVal>
            <c:numRef>
              <c:f>data!$J$68:$J$73</c:f>
              <c:numCache>
                <c:formatCode>0</c:formatCode>
                <c:ptCount val="6"/>
                <c:pt idx="0">
                  <c:v>59.39</c:v>
                </c:pt>
                <c:pt idx="1">
                  <c:v>77.77</c:v>
                </c:pt>
                <c:pt idx="2">
                  <c:v>86.57</c:v>
                </c:pt>
                <c:pt idx="3">
                  <c:v>94.24</c:v>
                </c:pt>
                <c:pt idx="4">
                  <c:v>98.53</c:v>
                </c:pt>
                <c:pt idx="5">
                  <c:v>99.25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5F-4B30-B00B-FCAFA1E27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516271"/>
        <c:axId val="532983839"/>
      </c:scatterChart>
      <c:valAx>
        <c:axId val="52751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ANR [-]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983839"/>
        <c:crosses val="autoZero"/>
        <c:crossBetween val="midCat"/>
      </c:valAx>
      <c:valAx>
        <c:axId val="5329838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NO conversion</a:t>
                </a:r>
                <a:r>
                  <a:rPr lang="en-US" altLang="zh-CN" baseline="0"/>
                  <a:t> [%]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27516271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6806479530261518"/>
          <c:y val="0.28140031296603585"/>
          <c:w val="0.11659977068852145"/>
          <c:h val="0.10559649961141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8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8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8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60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93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zoomScale="93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zoomScale="93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zoomScale="9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100013</xdr:colOff>
      <xdr:row>54</xdr:row>
      <xdr:rowOff>47625</xdr:rowOff>
    </xdr:from>
    <xdr:to>
      <xdr:col>26</xdr:col>
      <xdr:colOff>138113</xdr:colOff>
      <xdr:row>72</xdr:row>
      <xdr:rowOff>76200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11682413" y="9511665"/>
          <a:ext cx="4305300" cy="3183255"/>
          <a:chOff x="12406313" y="9563100"/>
          <a:chExt cx="4572000" cy="3200400"/>
        </a:xfrm>
      </xdr:grpSpPr>
      <xdr:graphicFrame macro="">
        <xdr:nvGraphicFramePr>
          <xdr:cNvPr id="8" name="图表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aphicFramePr>
            <a:graphicFrameLocks/>
          </xdr:cNvGraphicFramePr>
        </xdr:nvGraphicFramePr>
        <xdr:xfrm>
          <a:off x="12406313" y="9563100"/>
          <a:ext cx="4572000" cy="3200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9" name="文本框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13206413" y="9977438"/>
            <a:ext cx="47436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100"/>
              <a:t>500C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112" cy="6070315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8112" cy="6070315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8112" cy="6070315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8112" cy="6070315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8112" cy="6070315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4315" cy="6093952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4315" cy="6093952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4315" cy="6093952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84315" cy="6093952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73"/>
  <sheetViews>
    <sheetView tabSelected="1" topLeftCell="A21" workbookViewId="0">
      <selection activeCell="T40" sqref="T40"/>
    </sheetView>
  </sheetViews>
  <sheetFormatPr defaultRowHeight="13.8" x14ac:dyDescent="0.25"/>
  <sheetData>
    <row r="1" spans="2:12" x14ac:dyDescent="0.25">
      <c r="B1" s="2" t="s">
        <v>14</v>
      </c>
      <c r="C1" s="2"/>
      <c r="D1" s="2"/>
      <c r="E1" s="2"/>
      <c r="F1" s="2"/>
      <c r="H1" s="2" t="s">
        <v>15</v>
      </c>
      <c r="I1" s="2"/>
      <c r="J1" s="2"/>
      <c r="K1" s="2"/>
      <c r="L1" s="2"/>
    </row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0</v>
      </c>
      <c r="I2" t="s">
        <v>1</v>
      </c>
      <c r="J2" t="s">
        <v>2</v>
      </c>
      <c r="K2" t="s">
        <v>3</v>
      </c>
      <c r="L2" t="s">
        <v>4</v>
      </c>
    </row>
    <row r="3" spans="2:12" x14ac:dyDescent="0.25">
      <c r="B3" t="s">
        <v>5</v>
      </c>
      <c r="C3">
        <v>0.6</v>
      </c>
      <c r="D3" s="1">
        <v>56.904333333333334</v>
      </c>
      <c r="E3" s="1">
        <v>1.5061666666666675</v>
      </c>
      <c r="F3" s="1">
        <v>14.365833333333338</v>
      </c>
      <c r="H3" t="s">
        <v>5</v>
      </c>
      <c r="I3">
        <v>0.6</v>
      </c>
      <c r="J3" s="1">
        <v>56.53</v>
      </c>
      <c r="K3" s="1">
        <v>7.23</v>
      </c>
      <c r="L3" s="1">
        <v>8.82</v>
      </c>
    </row>
    <row r="4" spans="2:12" x14ac:dyDescent="0.25">
      <c r="C4">
        <v>0.8</v>
      </c>
      <c r="D4" s="1">
        <v>77.05</v>
      </c>
      <c r="E4" s="1">
        <v>0.46</v>
      </c>
      <c r="F4" s="1">
        <v>17.239999999999998</v>
      </c>
      <c r="I4">
        <v>0.8</v>
      </c>
      <c r="J4" s="1">
        <v>75.900000000000006</v>
      </c>
      <c r="K4" s="1">
        <v>10.199999999999999</v>
      </c>
      <c r="L4" s="1">
        <v>13.54</v>
      </c>
    </row>
    <row r="5" spans="2:12" x14ac:dyDescent="0.25">
      <c r="C5">
        <v>0.9</v>
      </c>
      <c r="D5" s="1">
        <v>85.38</v>
      </c>
      <c r="E5" s="1">
        <v>3.79</v>
      </c>
      <c r="F5" s="1">
        <v>17.61</v>
      </c>
      <c r="I5">
        <v>0.9</v>
      </c>
      <c r="J5" s="1">
        <v>73.88</v>
      </c>
      <c r="K5" s="1">
        <v>10.8</v>
      </c>
      <c r="L5" s="1">
        <v>11.75</v>
      </c>
    </row>
    <row r="6" spans="2:12" x14ac:dyDescent="0.25">
      <c r="C6">
        <v>1</v>
      </c>
      <c r="D6" s="1">
        <v>86.01</v>
      </c>
      <c r="E6" s="1">
        <v>10.1</v>
      </c>
      <c r="F6" s="1">
        <v>15.73</v>
      </c>
      <c r="I6">
        <v>1</v>
      </c>
      <c r="J6" s="1">
        <v>74.83</v>
      </c>
      <c r="K6" s="1">
        <v>13.08</v>
      </c>
      <c r="L6" s="1">
        <v>11.1</v>
      </c>
    </row>
    <row r="7" spans="2:12" x14ac:dyDescent="0.25">
      <c r="C7">
        <v>1.1000000000000001</v>
      </c>
      <c r="D7" s="1">
        <v>86.82</v>
      </c>
      <c r="E7" s="1">
        <v>11.71</v>
      </c>
      <c r="F7" s="1">
        <v>13.54</v>
      </c>
      <c r="I7">
        <v>1.1000000000000001</v>
      </c>
      <c r="J7" s="1">
        <v>73.98</v>
      </c>
      <c r="K7" s="1">
        <v>12.31</v>
      </c>
      <c r="L7" s="1">
        <v>10.66</v>
      </c>
    </row>
    <row r="8" spans="2:12" x14ac:dyDescent="0.25">
      <c r="C8">
        <v>1.3</v>
      </c>
      <c r="D8" s="1">
        <v>98.39</v>
      </c>
      <c r="E8" s="1">
        <v>14.02</v>
      </c>
      <c r="F8" s="1">
        <v>12.08</v>
      </c>
      <c r="I8">
        <v>1.3</v>
      </c>
      <c r="J8" s="1">
        <v>72.400000000000006</v>
      </c>
      <c r="K8" s="1">
        <v>11.94</v>
      </c>
      <c r="L8" s="1">
        <v>9.92</v>
      </c>
    </row>
    <row r="10" spans="2:12" x14ac:dyDescent="0.25">
      <c r="B10" t="s">
        <v>0</v>
      </c>
      <c r="C10" t="s">
        <v>1</v>
      </c>
      <c r="D10" t="s">
        <v>2</v>
      </c>
      <c r="E10" t="s">
        <v>3</v>
      </c>
      <c r="F10" t="s">
        <v>4</v>
      </c>
      <c r="H10" t="s">
        <v>0</v>
      </c>
      <c r="I10" t="s">
        <v>1</v>
      </c>
      <c r="J10" t="s">
        <v>2</v>
      </c>
      <c r="K10" t="s">
        <v>3</v>
      </c>
      <c r="L10" t="s">
        <v>4</v>
      </c>
    </row>
    <row r="11" spans="2:12" x14ac:dyDescent="0.25">
      <c r="B11" t="s">
        <v>6</v>
      </c>
      <c r="C11">
        <v>0.6</v>
      </c>
      <c r="D11" s="1">
        <v>59.42</v>
      </c>
      <c r="E11" s="1">
        <v>1.41</v>
      </c>
      <c r="F11" s="1">
        <v>10.1</v>
      </c>
      <c r="H11" t="s">
        <v>6</v>
      </c>
      <c r="I11">
        <v>0.6</v>
      </c>
      <c r="J11" s="1">
        <v>59.21</v>
      </c>
      <c r="K11" s="1">
        <v>0.68</v>
      </c>
      <c r="L11" s="1">
        <v>13.85</v>
      </c>
    </row>
    <row r="12" spans="2:12" x14ac:dyDescent="0.25">
      <c r="C12">
        <v>0.8</v>
      </c>
      <c r="D12" s="1">
        <v>79.42</v>
      </c>
      <c r="E12" s="1">
        <v>1.57</v>
      </c>
      <c r="F12" s="1">
        <v>14.71</v>
      </c>
      <c r="I12">
        <v>0.8</v>
      </c>
      <c r="J12" s="1">
        <v>78.39</v>
      </c>
      <c r="K12" s="1">
        <v>1.01</v>
      </c>
      <c r="L12" s="1">
        <v>20.62</v>
      </c>
    </row>
    <row r="13" spans="2:12" x14ac:dyDescent="0.25">
      <c r="C13">
        <v>0.9</v>
      </c>
      <c r="D13" s="1">
        <v>88.83</v>
      </c>
      <c r="E13" s="1">
        <v>2.04</v>
      </c>
      <c r="F13" s="1">
        <v>19.149999999999999</v>
      </c>
      <c r="I13">
        <v>0.9</v>
      </c>
      <c r="J13" s="1">
        <v>89.2</v>
      </c>
      <c r="K13" s="1">
        <v>2.2999999999999998</v>
      </c>
      <c r="L13" s="1">
        <v>28.7</v>
      </c>
    </row>
    <row r="14" spans="2:12" x14ac:dyDescent="0.25">
      <c r="C14">
        <v>1</v>
      </c>
      <c r="D14" s="1">
        <v>96.14</v>
      </c>
      <c r="E14" s="1">
        <v>3.94</v>
      </c>
      <c r="F14" s="1">
        <v>24.61</v>
      </c>
      <c r="I14">
        <v>1</v>
      </c>
      <c r="J14" s="1">
        <v>97.78</v>
      </c>
      <c r="K14" s="1">
        <v>4.59</v>
      </c>
      <c r="L14" s="1">
        <v>34.21</v>
      </c>
    </row>
    <row r="15" spans="2:12" x14ac:dyDescent="0.25">
      <c r="C15">
        <v>1.1000000000000001</v>
      </c>
      <c r="D15" s="1">
        <v>98.39</v>
      </c>
      <c r="E15" s="1">
        <v>10.16</v>
      </c>
      <c r="F15" s="1">
        <v>28.41</v>
      </c>
      <c r="I15">
        <v>1.1000000000000001</v>
      </c>
      <c r="J15" s="1">
        <v>98.81</v>
      </c>
      <c r="K15" s="1">
        <v>10.86</v>
      </c>
      <c r="L15" s="1">
        <v>33.99</v>
      </c>
    </row>
    <row r="16" spans="2:12" x14ac:dyDescent="0.25">
      <c r="C16">
        <v>1.3</v>
      </c>
      <c r="D16" s="1">
        <v>98.39</v>
      </c>
      <c r="E16" s="1">
        <v>11.59</v>
      </c>
      <c r="F16" s="1">
        <v>26.66</v>
      </c>
      <c r="I16">
        <v>1.3</v>
      </c>
      <c r="J16" s="1">
        <v>98.92</v>
      </c>
      <c r="K16" s="1">
        <v>14.27</v>
      </c>
      <c r="L16" s="1">
        <v>29.89</v>
      </c>
    </row>
    <row r="18" spans="2:21" x14ac:dyDescent="0.25">
      <c r="B18" t="s">
        <v>0</v>
      </c>
      <c r="C18" t="s">
        <v>1</v>
      </c>
      <c r="D18" t="s">
        <v>2</v>
      </c>
      <c r="E18" t="s">
        <v>3</v>
      </c>
      <c r="F18" t="s">
        <v>4</v>
      </c>
      <c r="H18" t="s">
        <v>0</v>
      </c>
      <c r="I18" t="s">
        <v>1</v>
      </c>
      <c r="J18" t="s">
        <v>2</v>
      </c>
      <c r="K18" t="s">
        <v>3</v>
      </c>
      <c r="L18" t="s">
        <v>4</v>
      </c>
    </row>
    <row r="19" spans="2:21" x14ac:dyDescent="0.25">
      <c r="B19" t="s">
        <v>7</v>
      </c>
      <c r="C19">
        <v>0.6</v>
      </c>
      <c r="D19" s="1">
        <v>59.43</v>
      </c>
      <c r="E19" s="1">
        <v>0.24</v>
      </c>
      <c r="F19" s="1">
        <v>5.13</v>
      </c>
      <c r="H19" t="s">
        <v>7</v>
      </c>
      <c r="I19">
        <v>0.6</v>
      </c>
      <c r="J19" s="1">
        <v>58.74</v>
      </c>
      <c r="K19" s="1">
        <v>0.87</v>
      </c>
      <c r="L19" s="1">
        <v>12.59</v>
      </c>
    </row>
    <row r="20" spans="2:21" x14ac:dyDescent="0.25">
      <c r="C20">
        <v>0.8</v>
      </c>
      <c r="D20" s="1">
        <v>79.540000000000006</v>
      </c>
      <c r="E20" s="1">
        <v>0.82</v>
      </c>
      <c r="F20" s="1">
        <v>7.77</v>
      </c>
      <c r="I20">
        <v>0.8</v>
      </c>
      <c r="J20" s="1">
        <v>78.11</v>
      </c>
      <c r="K20" s="1">
        <v>1.64</v>
      </c>
      <c r="L20" s="1">
        <v>20.29</v>
      </c>
    </row>
    <row r="21" spans="2:21" x14ac:dyDescent="0.25">
      <c r="C21">
        <v>0.9</v>
      </c>
      <c r="D21" s="1">
        <v>88.71</v>
      </c>
      <c r="E21" s="1">
        <v>2.95</v>
      </c>
      <c r="F21" s="1">
        <v>10.28</v>
      </c>
      <c r="I21">
        <v>0.9</v>
      </c>
      <c r="J21" s="1">
        <v>88.1</v>
      </c>
      <c r="K21" s="1">
        <v>0.98</v>
      </c>
      <c r="L21" s="1">
        <v>26.57</v>
      </c>
    </row>
    <row r="22" spans="2:21" x14ac:dyDescent="0.25">
      <c r="C22">
        <v>1</v>
      </c>
      <c r="D22" s="1">
        <v>96.82</v>
      </c>
      <c r="E22" s="1">
        <v>4.17</v>
      </c>
      <c r="F22" s="1">
        <v>17.23</v>
      </c>
      <c r="I22">
        <v>1</v>
      </c>
      <c r="J22" s="1">
        <v>97.62</v>
      </c>
      <c r="K22" s="1">
        <v>2.09</v>
      </c>
      <c r="L22" s="1">
        <v>35.97</v>
      </c>
    </row>
    <row r="23" spans="2:21" x14ac:dyDescent="0.25">
      <c r="C23">
        <v>1.1000000000000001</v>
      </c>
      <c r="D23" s="1">
        <v>99.74</v>
      </c>
      <c r="E23" s="1">
        <v>10.9</v>
      </c>
      <c r="F23" s="1">
        <v>27.71</v>
      </c>
      <c r="I23">
        <v>1.1000000000000001</v>
      </c>
      <c r="J23" s="1">
        <v>99.33</v>
      </c>
      <c r="K23" s="1">
        <v>10.59</v>
      </c>
      <c r="L23" s="1">
        <v>42.53</v>
      </c>
    </row>
    <row r="24" spans="2:21" x14ac:dyDescent="0.25">
      <c r="C24">
        <v>1.3</v>
      </c>
      <c r="D24" s="1">
        <v>98.39</v>
      </c>
      <c r="E24" s="1">
        <v>12.13</v>
      </c>
      <c r="F24" s="1">
        <v>33.14</v>
      </c>
      <c r="I24">
        <v>1.3</v>
      </c>
      <c r="J24" s="1">
        <v>99.58</v>
      </c>
      <c r="K24" s="1">
        <v>11.19</v>
      </c>
      <c r="L24" s="1">
        <v>46.9</v>
      </c>
    </row>
    <row r="26" spans="2:21" x14ac:dyDescent="0.25">
      <c r="B26" t="s">
        <v>0</v>
      </c>
      <c r="C26" t="s">
        <v>1</v>
      </c>
      <c r="D26" t="s">
        <v>2</v>
      </c>
      <c r="E26" t="s">
        <v>3</v>
      </c>
      <c r="F26" t="s">
        <v>4</v>
      </c>
      <c r="H26" t="s">
        <v>0</v>
      </c>
      <c r="I26" t="s">
        <v>1</v>
      </c>
      <c r="J26" t="s">
        <v>2</v>
      </c>
      <c r="K26" t="s">
        <v>3</v>
      </c>
      <c r="L26" t="s">
        <v>4</v>
      </c>
    </row>
    <row r="27" spans="2:21" x14ac:dyDescent="0.25">
      <c r="B27" t="s">
        <v>8</v>
      </c>
      <c r="C27">
        <v>0.6</v>
      </c>
      <c r="D27" s="1">
        <v>59.93</v>
      </c>
      <c r="E27" s="1">
        <v>0.23</v>
      </c>
      <c r="F27" s="1">
        <v>3.94</v>
      </c>
      <c r="H27" t="s">
        <v>8</v>
      </c>
      <c r="I27">
        <v>0.6</v>
      </c>
      <c r="J27" s="1">
        <v>59.17</v>
      </c>
      <c r="K27" s="1">
        <v>0.57999999999999996</v>
      </c>
      <c r="L27" s="1">
        <v>11.14</v>
      </c>
    </row>
    <row r="28" spans="2:21" x14ac:dyDescent="0.25">
      <c r="C28">
        <v>0.8</v>
      </c>
      <c r="D28" s="1">
        <v>79.97</v>
      </c>
      <c r="E28" s="1">
        <v>0.92</v>
      </c>
      <c r="F28" s="1">
        <v>4.9400000000000004</v>
      </c>
      <c r="I28">
        <v>0.8</v>
      </c>
      <c r="J28" s="1">
        <v>78.77</v>
      </c>
      <c r="K28" s="1">
        <v>1.98</v>
      </c>
      <c r="L28" s="1">
        <v>16.37</v>
      </c>
    </row>
    <row r="29" spans="2:21" x14ac:dyDescent="0.25">
      <c r="C29">
        <v>0.9</v>
      </c>
      <c r="D29" s="1">
        <v>88.82</v>
      </c>
      <c r="E29" s="1">
        <v>1.63</v>
      </c>
      <c r="F29" s="1">
        <v>5.97</v>
      </c>
      <c r="I29">
        <v>0.9</v>
      </c>
      <c r="J29" s="1">
        <v>88.26</v>
      </c>
      <c r="K29" s="1">
        <v>0.42</v>
      </c>
      <c r="L29" s="1">
        <v>19.91</v>
      </c>
    </row>
    <row r="30" spans="2:21" x14ac:dyDescent="0.25">
      <c r="C30">
        <v>1</v>
      </c>
      <c r="D30" s="1">
        <v>97.33</v>
      </c>
      <c r="E30" s="1">
        <v>3.58</v>
      </c>
      <c r="F30" s="1">
        <v>8.52</v>
      </c>
      <c r="I30">
        <v>1</v>
      </c>
      <c r="J30" s="1">
        <v>96.89</v>
      </c>
      <c r="K30" s="1">
        <v>4.28</v>
      </c>
      <c r="L30" s="1">
        <v>25.07</v>
      </c>
      <c r="R30">
        <v>2200</v>
      </c>
      <c r="S30">
        <v>150</v>
      </c>
      <c r="T30">
        <f>R30-S30</f>
        <v>2050</v>
      </c>
      <c r="U30">
        <f>T30/R30</f>
        <v>0.93181818181818177</v>
      </c>
    </row>
    <row r="31" spans="2:21" x14ac:dyDescent="0.25">
      <c r="C31">
        <v>1.1000000000000001</v>
      </c>
      <c r="D31" s="1">
        <v>99.83</v>
      </c>
      <c r="E31" s="1">
        <v>10.68</v>
      </c>
      <c r="F31" s="1">
        <v>12.87</v>
      </c>
      <c r="I31">
        <v>1.1000000000000001</v>
      </c>
      <c r="J31" s="1">
        <v>99.11</v>
      </c>
      <c r="K31" s="1">
        <v>10.36</v>
      </c>
      <c r="L31" s="1">
        <v>30.59</v>
      </c>
    </row>
    <row r="32" spans="2:21" x14ac:dyDescent="0.25">
      <c r="C32">
        <v>1.3</v>
      </c>
      <c r="D32" s="1">
        <v>99.85</v>
      </c>
      <c r="E32" s="1">
        <v>13.7</v>
      </c>
      <c r="F32" s="1">
        <v>17.920000000000002</v>
      </c>
      <c r="I32">
        <v>1.3</v>
      </c>
      <c r="J32" s="1">
        <v>99.54</v>
      </c>
      <c r="K32" s="1">
        <v>11.8</v>
      </c>
      <c r="L32" s="1">
        <v>38.04</v>
      </c>
    </row>
    <row r="33" spans="2:20" x14ac:dyDescent="0.25">
      <c r="R33">
        <f>10000/15</f>
        <v>666.66666666666663</v>
      </c>
      <c r="S33">
        <f>R33/49</f>
        <v>13.605442176870747</v>
      </c>
      <c r="T33">
        <f>S33/0.15/0.15</f>
        <v>604.68631897203329</v>
      </c>
    </row>
    <row r="34" spans="2:20" x14ac:dyDescent="0.25">
      <c r="B34" t="s">
        <v>0</v>
      </c>
      <c r="C34" t="s">
        <v>1</v>
      </c>
      <c r="D34" t="s">
        <v>2</v>
      </c>
      <c r="E34" t="s">
        <v>3</v>
      </c>
      <c r="F34" t="s">
        <v>4</v>
      </c>
      <c r="H34" t="s">
        <v>0</v>
      </c>
      <c r="I34" t="s">
        <v>1</v>
      </c>
      <c r="J34" t="s">
        <v>2</v>
      </c>
      <c r="K34" t="s">
        <v>3</v>
      </c>
      <c r="L34" t="s">
        <v>4</v>
      </c>
    </row>
    <row r="35" spans="2:20" x14ac:dyDescent="0.25">
      <c r="B35" t="s">
        <v>9</v>
      </c>
      <c r="C35">
        <v>0.6</v>
      </c>
      <c r="D35" s="1">
        <v>59.77</v>
      </c>
      <c r="E35" s="1">
        <v>0.41</v>
      </c>
      <c r="F35" s="1">
        <v>4.75</v>
      </c>
      <c r="H35" t="s">
        <v>9</v>
      </c>
      <c r="I35">
        <v>0.6</v>
      </c>
      <c r="J35" s="1">
        <v>58.2</v>
      </c>
      <c r="K35" s="1">
        <v>0.96</v>
      </c>
      <c r="L35" s="1">
        <v>13.04</v>
      </c>
    </row>
    <row r="36" spans="2:20" x14ac:dyDescent="0.25">
      <c r="C36">
        <v>0.8</v>
      </c>
      <c r="D36" s="1">
        <v>79.239999999999995</v>
      </c>
      <c r="E36" s="1">
        <v>1.04</v>
      </c>
      <c r="F36" s="1">
        <v>5.47</v>
      </c>
      <c r="I36">
        <v>0.8</v>
      </c>
      <c r="J36" s="1">
        <v>77.88</v>
      </c>
      <c r="K36" s="1">
        <v>0.96</v>
      </c>
      <c r="L36" s="1">
        <v>17.7</v>
      </c>
      <c r="R36">
        <f>8*8*0.15*0.15*500</f>
        <v>720</v>
      </c>
      <c r="S36">
        <f>R36/R33</f>
        <v>1.08</v>
      </c>
    </row>
    <row r="37" spans="2:20" x14ac:dyDescent="0.25">
      <c r="C37">
        <v>0.9</v>
      </c>
      <c r="D37" s="1">
        <v>88.17</v>
      </c>
      <c r="E37" s="1">
        <v>1.37</v>
      </c>
      <c r="F37" s="1">
        <v>6.19</v>
      </c>
      <c r="I37">
        <v>0.9</v>
      </c>
      <c r="J37" s="1">
        <v>87.07</v>
      </c>
      <c r="K37" s="1">
        <v>0.7</v>
      </c>
      <c r="L37" s="1">
        <v>20.48</v>
      </c>
    </row>
    <row r="38" spans="2:20" x14ac:dyDescent="0.25">
      <c r="C38">
        <v>1</v>
      </c>
      <c r="D38" s="1">
        <v>96.54</v>
      </c>
      <c r="E38" s="1">
        <v>3.43</v>
      </c>
      <c r="F38" s="1">
        <v>7.3</v>
      </c>
      <c r="I38">
        <v>1</v>
      </c>
      <c r="J38" s="1">
        <v>95.32</v>
      </c>
      <c r="K38" s="1">
        <v>0.84</v>
      </c>
      <c r="L38" s="1">
        <v>24.01</v>
      </c>
    </row>
    <row r="39" spans="2:20" x14ac:dyDescent="0.25">
      <c r="C39">
        <v>1.1000000000000001</v>
      </c>
      <c r="D39" s="1">
        <v>99.84</v>
      </c>
      <c r="E39" s="1">
        <v>7.29</v>
      </c>
      <c r="F39" s="1">
        <v>8.69</v>
      </c>
      <c r="I39">
        <v>1.1000000000000001</v>
      </c>
      <c r="J39" s="1">
        <v>99.04</v>
      </c>
      <c r="K39" s="1">
        <v>11.05</v>
      </c>
      <c r="L39" s="1">
        <v>27.09</v>
      </c>
    </row>
    <row r="40" spans="2:20" x14ac:dyDescent="0.25">
      <c r="C40">
        <v>1.3</v>
      </c>
      <c r="D40" s="1">
        <v>99.89</v>
      </c>
      <c r="E40" s="1">
        <v>12.25</v>
      </c>
      <c r="F40" s="1">
        <v>10.15</v>
      </c>
      <c r="I40">
        <v>1.3</v>
      </c>
      <c r="J40" s="1">
        <v>99.5</v>
      </c>
      <c r="K40" s="1">
        <v>13.41</v>
      </c>
      <c r="L40" s="1">
        <v>30.45</v>
      </c>
      <c r="P40">
        <f>10000/3600/(0.15*0.15*49)</f>
        <v>2.5195263290501386</v>
      </c>
      <c r="Q40">
        <f>P40/0.65</f>
        <v>3.8761943523848283</v>
      </c>
      <c r="S40" t="s">
        <v>16</v>
      </c>
    </row>
    <row r="42" spans="2:20" x14ac:dyDescent="0.25">
      <c r="B42" t="s">
        <v>0</v>
      </c>
      <c r="C42" t="s">
        <v>1</v>
      </c>
      <c r="D42" t="s">
        <v>2</v>
      </c>
      <c r="E42" t="s">
        <v>3</v>
      </c>
      <c r="F42" t="s">
        <v>4</v>
      </c>
      <c r="H42" t="s">
        <v>0</v>
      </c>
      <c r="I42" t="s">
        <v>1</v>
      </c>
      <c r="J42" t="s">
        <v>2</v>
      </c>
      <c r="K42" t="s">
        <v>3</v>
      </c>
      <c r="L42" t="s">
        <v>4</v>
      </c>
    </row>
    <row r="43" spans="2:20" x14ac:dyDescent="0.25">
      <c r="B43" t="s">
        <v>10</v>
      </c>
      <c r="C43">
        <v>0.6</v>
      </c>
      <c r="D43" s="1">
        <v>59.99</v>
      </c>
      <c r="E43" s="1">
        <v>0.12</v>
      </c>
      <c r="F43" s="1">
        <v>6.75</v>
      </c>
      <c r="H43" t="s">
        <v>10</v>
      </c>
      <c r="I43">
        <v>0.6</v>
      </c>
      <c r="J43" s="1">
        <v>57.62</v>
      </c>
      <c r="K43" s="1">
        <v>0.26</v>
      </c>
      <c r="L43" s="1">
        <v>20.36</v>
      </c>
    </row>
    <row r="44" spans="2:20" x14ac:dyDescent="0.25">
      <c r="C44">
        <v>0.8</v>
      </c>
      <c r="D44" s="1">
        <v>79.03</v>
      </c>
      <c r="E44" s="1">
        <v>0.56000000000000005</v>
      </c>
      <c r="F44" s="1">
        <v>7.84</v>
      </c>
      <c r="I44">
        <v>0.8</v>
      </c>
      <c r="J44" s="1">
        <v>76.94</v>
      </c>
      <c r="K44" s="1">
        <v>1.92</v>
      </c>
      <c r="L44" s="1">
        <v>25.83</v>
      </c>
    </row>
    <row r="45" spans="2:20" x14ac:dyDescent="0.25">
      <c r="C45">
        <v>0.9</v>
      </c>
      <c r="D45" s="1">
        <v>87.95</v>
      </c>
      <c r="E45" s="1">
        <v>1.33</v>
      </c>
      <c r="F45" s="1">
        <v>8.5</v>
      </c>
      <c r="I45">
        <v>0.9</v>
      </c>
      <c r="J45" s="1">
        <v>86.1</v>
      </c>
      <c r="K45" s="1">
        <v>0.6</v>
      </c>
      <c r="L45" s="1">
        <v>28.78</v>
      </c>
    </row>
    <row r="46" spans="2:20" x14ac:dyDescent="0.25">
      <c r="C46">
        <v>1</v>
      </c>
      <c r="D46" s="1">
        <v>95.32</v>
      </c>
      <c r="E46" s="1">
        <v>2.73</v>
      </c>
      <c r="F46" s="1">
        <v>9.48</v>
      </c>
      <c r="I46">
        <v>1</v>
      </c>
      <c r="J46" s="1">
        <v>94.45</v>
      </c>
      <c r="K46" s="1">
        <v>0.12</v>
      </c>
      <c r="L46" s="1">
        <v>31.93</v>
      </c>
    </row>
    <row r="47" spans="2:20" x14ac:dyDescent="0.25">
      <c r="C47">
        <v>1.1000000000000001</v>
      </c>
      <c r="D47" s="1">
        <v>99.72</v>
      </c>
      <c r="E47" s="1">
        <v>3.41</v>
      </c>
      <c r="F47" s="1">
        <v>10.43</v>
      </c>
      <c r="I47">
        <v>1.1000000000000001</v>
      </c>
      <c r="J47" s="1">
        <v>99.04</v>
      </c>
      <c r="K47" s="1">
        <v>12.07</v>
      </c>
      <c r="L47" s="1">
        <v>35.78</v>
      </c>
    </row>
    <row r="48" spans="2:20" x14ac:dyDescent="0.25">
      <c r="C48">
        <v>1.3</v>
      </c>
      <c r="D48" s="1">
        <v>99.9</v>
      </c>
      <c r="E48" s="1">
        <v>10.74</v>
      </c>
      <c r="F48" s="1">
        <v>10.93</v>
      </c>
      <c r="I48">
        <v>1.3</v>
      </c>
      <c r="J48" s="1">
        <v>99.55</v>
      </c>
      <c r="K48" s="1">
        <v>11.32</v>
      </c>
      <c r="L48" s="1">
        <v>36.97</v>
      </c>
    </row>
    <row r="50" spans="2:12" x14ac:dyDescent="0.25">
      <c r="B50" t="s">
        <v>0</v>
      </c>
      <c r="C50" t="s">
        <v>1</v>
      </c>
      <c r="D50" t="s">
        <v>2</v>
      </c>
      <c r="E50" t="s">
        <v>3</v>
      </c>
      <c r="F50" t="s">
        <v>4</v>
      </c>
      <c r="H50" t="s">
        <v>0</v>
      </c>
      <c r="I50" t="s">
        <v>1</v>
      </c>
      <c r="J50" t="s">
        <v>2</v>
      </c>
      <c r="K50" t="s">
        <v>3</v>
      </c>
      <c r="L50" t="s">
        <v>4</v>
      </c>
    </row>
    <row r="51" spans="2:12" x14ac:dyDescent="0.25">
      <c r="B51" t="s">
        <v>11</v>
      </c>
      <c r="C51">
        <v>0.6</v>
      </c>
      <c r="D51" s="1">
        <v>59.93</v>
      </c>
      <c r="E51" s="1">
        <v>0.42</v>
      </c>
      <c r="F51" s="1">
        <v>9.24</v>
      </c>
      <c r="H51" t="s">
        <v>11</v>
      </c>
      <c r="I51">
        <v>0.6</v>
      </c>
      <c r="J51" s="1">
        <v>58.12</v>
      </c>
      <c r="K51" s="1">
        <v>0.55000000000000004</v>
      </c>
      <c r="L51" s="1">
        <v>30.19</v>
      </c>
    </row>
    <row r="52" spans="2:12" x14ac:dyDescent="0.25">
      <c r="C52">
        <v>0.8</v>
      </c>
      <c r="D52" s="1">
        <v>78.67</v>
      </c>
      <c r="E52" s="1">
        <v>0.74</v>
      </c>
      <c r="F52" s="1">
        <v>10.77</v>
      </c>
      <c r="I52">
        <v>0.8</v>
      </c>
      <c r="J52" s="1">
        <v>77.22</v>
      </c>
      <c r="K52" s="1">
        <v>2.02</v>
      </c>
      <c r="L52" s="1">
        <v>38.07</v>
      </c>
    </row>
    <row r="53" spans="2:12" x14ac:dyDescent="0.25">
      <c r="C53">
        <v>0.9</v>
      </c>
      <c r="D53" s="1">
        <v>86.97</v>
      </c>
      <c r="E53" s="1">
        <v>1.47</v>
      </c>
      <c r="F53" s="1">
        <v>11.68</v>
      </c>
      <c r="I53">
        <v>0.9</v>
      </c>
      <c r="J53" s="1">
        <v>85.94</v>
      </c>
      <c r="K53" s="1">
        <v>0.69</v>
      </c>
      <c r="L53" s="1">
        <v>42.85</v>
      </c>
    </row>
    <row r="54" spans="2:12" x14ac:dyDescent="0.25">
      <c r="C54">
        <v>1</v>
      </c>
      <c r="D54" s="1">
        <v>93.74</v>
      </c>
      <c r="E54" s="1">
        <v>2.0699999999999998</v>
      </c>
      <c r="F54" s="1">
        <v>12.66</v>
      </c>
      <c r="I54">
        <v>1</v>
      </c>
      <c r="J54" s="1">
        <v>94.71</v>
      </c>
      <c r="K54" s="1">
        <v>2.5499999999999998</v>
      </c>
      <c r="L54" s="1">
        <v>46.54</v>
      </c>
    </row>
    <row r="55" spans="2:12" x14ac:dyDescent="0.25">
      <c r="C55">
        <v>1.1000000000000001</v>
      </c>
      <c r="D55" s="1">
        <v>98.12</v>
      </c>
      <c r="E55" s="1">
        <v>2.85</v>
      </c>
      <c r="F55" s="1">
        <v>13.5</v>
      </c>
      <c r="I55">
        <v>1.1000000000000001</v>
      </c>
      <c r="J55" s="1">
        <v>98.98</v>
      </c>
      <c r="K55" s="1">
        <v>10.6</v>
      </c>
      <c r="L55" s="1">
        <v>49.06</v>
      </c>
    </row>
    <row r="56" spans="2:12" x14ac:dyDescent="0.25">
      <c r="C56">
        <v>1.3</v>
      </c>
      <c r="D56" s="1">
        <v>99.85</v>
      </c>
      <c r="E56" s="1">
        <v>3.21</v>
      </c>
      <c r="F56" s="1">
        <v>13.57</v>
      </c>
      <c r="I56">
        <v>1.3</v>
      </c>
      <c r="J56" s="1">
        <v>99.52</v>
      </c>
      <c r="K56" s="1">
        <v>12.22</v>
      </c>
      <c r="L56" s="1">
        <v>50.23</v>
      </c>
    </row>
    <row r="58" spans="2:12" x14ac:dyDescent="0.25">
      <c r="B58" t="s">
        <v>0</v>
      </c>
      <c r="C58" t="s">
        <v>1</v>
      </c>
      <c r="D58" t="s">
        <v>2</v>
      </c>
      <c r="E58" t="s">
        <v>3</v>
      </c>
      <c r="F58" t="s">
        <v>4</v>
      </c>
      <c r="H58" t="s">
        <v>0</v>
      </c>
      <c r="I58" t="s">
        <v>1</v>
      </c>
      <c r="J58" t="s">
        <v>2</v>
      </c>
      <c r="K58" t="s">
        <v>3</v>
      </c>
      <c r="L58" t="s">
        <v>4</v>
      </c>
    </row>
    <row r="59" spans="2:12" x14ac:dyDescent="0.25">
      <c r="B59" t="s">
        <v>12</v>
      </c>
      <c r="C59">
        <v>0.6</v>
      </c>
      <c r="D59" s="1">
        <v>59.95</v>
      </c>
      <c r="E59" s="1">
        <v>0.38</v>
      </c>
      <c r="F59" s="1">
        <v>10.72</v>
      </c>
      <c r="H59" t="s">
        <v>12</v>
      </c>
      <c r="I59">
        <v>0.6</v>
      </c>
      <c r="J59" s="1">
        <v>57.87</v>
      </c>
      <c r="K59" s="1">
        <v>0.36</v>
      </c>
      <c r="L59" s="1">
        <v>41.35</v>
      </c>
    </row>
    <row r="60" spans="2:12" x14ac:dyDescent="0.25">
      <c r="C60">
        <v>0.8</v>
      </c>
      <c r="D60" s="1">
        <v>77.48</v>
      </c>
      <c r="E60" s="1">
        <v>2.68</v>
      </c>
      <c r="F60" s="1">
        <v>12.64</v>
      </c>
      <c r="I60">
        <v>0.8</v>
      </c>
      <c r="J60" s="1">
        <v>78.09</v>
      </c>
      <c r="K60" s="1">
        <v>1.49</v>
      </c>
      <c r="L60" s="1">
        <v>50.92</v>
      </c>
    </row>
    <row r="61" spans="2:12" x14ac:dyDescent="0.25">
      <c r="C61">
        <v>0.9</v>
      </c>
      <c r="D61" s="1">
        <v>85.09</v>
      </c>
      <c r="E61" s="1">
        <v>2.82</v>
      </c>
      <c r="F61" s="1">
        <v>13.64</v>
      </c>
      <c r="I61">
        <v>0.9</v>
      </c>
      <c r="J61" s="1">
        <v>87.16</v>
      </c>
      <c r="K61" s="1">
        <v>0.32</v>
      </c>
      <c r="L61" s="1">
        <v>57.13</v>
      </c>
    </row>
    <row r="62" spans="2:12" x14ac:dyDescent="0.25">
      <c r="C62">
        <v>1</v>
      </c>
      <c r="D62" s="1">
        <v>91.1</v>
      </c>
      <c r="E62" s="1">
        <v>2.87</v>
      </c>
      <c r="F62" s="1">
        <v>14.54</v>
      </c>
      <c r="I62">
        <v>1</v>
      </c>
      <c r="J62" s="1">
        <v>95.1</v>
      </c>
      <c r="K62" s="1">
        <v>2.14</v>
      </c>
      <c r="L62" s="1">
        <v>62.48</v>
      </c>
    </row>
    <row r="63" spans="2:12" x14ac:dyDescent="0.25">
      <c r="C63">
        <v>1.1000000000000001</v>
      </c>
      <c r="D63" s="1">
        <v>95.4</v>
      </c>
      <c r="E63" s="1">
        <v>2.62</v>
      </c>
      <c r="F63" s="1">
        <v>15.13</v>
      </c>
      <c r="I63">
        <v>1.1000000000000001</v>
      </c>
      <c r="J63" s="1">
        <v>98.87</v>
      </c>
      <c r="K63" s="1">
        <v>13.74</v>
      </c>
      <c r="L63" s="1">
        <v>64.7</v>
      </c>
    </row>
    <row r="64" spans="2:12" x14ac:dyDescent="0.25">
      <c r="C64">
        <v>1.3</v>
      </c>
      <c r="D64" s="1">
        <v>98.79</v>
      </c>
      <c r="E64" s="1">
        <v>2.69</v>
      </c>
      <c r="F64" s="1">
        <v>15.81</v>
      </c>
      <c r="I64">
        <v>1.3</v>
      </c>
      <c r="J64" s="1">
        <v>99.44</v>
      </c>
      <c r="K64" s="1">
        <v>13.78</v>
      </c>
      <c r="L64" s="1">
        <v>66.38</v>
      </c>
    </row>
    <row r="67" spans="2:12" x14ac:dyDescent="0.25">
      <c r="B67" t="s">
        <v>0</v>
      </c>
      <c r="C67" t="s">
        <v>1</v>
      </c>
      <c r="D67" t="s">
        <v>2</v>
      </c>
      <c r="E67" t="s">
        <v>3</v>
      </c>
      <c r="F67" t="s">
        <v>4</v>
      </c>
      <c r="H67" t="s">
        <v>0</v>
      </c>
      <c r="I67" t="s">
        <v>1</v>
      </c>
      <c r="J67" t="s">
        <v>2</v>
      </c>
      <c r="K67" t="s">
        <v>3</v>
      </c>
      <c r="L67" t="s">
        <v>4</v>
      </c>
    </row>
    <row r="68" spans="2:12" x14ac:dyDescent="0.25">
      <c r="B68" t="s">
        <v>13</v>
      </c>
      <c r="C68">
        <v>0.6</v>
      </c>
      <c r="D68" s="1">
        <v>59.15</v>
      </c>
      <c r="E68" s="1">
        <v>0.69</v>
      </c>
      <c r="F68" s="1">
        <v>10.53</v>
      </c>
      <c r="H68" t="s">
        <v>13</v>
      </c>
      <c r="I68">
        <v>0.6</v>
      </c>
      <c r="J68" s="1">
        <v>59.39</v>
      </c>
      <c r="K68" s="1">
        <v>0.79</v>
      </c>
      <c r="L68" s="1">
        <v>48.01</v>
      </c>
    </row>
    <row r="69" spans="2:12" x14ac:dyDescent="0.25">
      <c r="C69">
        <v>0.8</v>
      </c>
      <c r="D69" s="1">
        <v>75.47</v>
      </c>
      <c r="E69" s="1">
        <v>1.33</v>
      </c>
      <c r="F69" s="1">
        <v>11.73</v>
      </c>
      <c r="I69">
        <v>0.8</v>
      </c>
      <c r="J69" s="1">
        <v>77.77</v>
      </c>
      <c r="K69" s="1">
        <v>3.33</v>
      </c>
      <c r="L69" s="1">
        <v>60.17</v>
      </c>
    </row>
    <row r="70" spans="2:12" x14ac:dyDescent="0.25">
      <c r="C70">
        <v>0.9</v>
      </c>
      <c r="D70" s="1">
        <v>82.08</v>
      </c>
      <c r="E70" s="1">
        <v>2.39</v>
      </c>
      <c r="F70" s="1">
        <v>12.62</v>
      </c>
      <c r="I70">
        <v>0.9</v>
      </c>
      <c r="J70" s="1">
        <v>86.57</v>
      </c>
      <c r="K70" s="1">
        <v>1.55</v>
      </c>
      <c r="L70" s="1">
        <v>65.52</v>
      </c>
    </row>
    <row r="71" spans="2:12" x14ac:dyDescent="0.25">
      <c r="C71">
        <v>1</v>
      </c>
      <c r="D71" s="1">
        <v>87.32</v>
      </c>
      <c r="E71" s="1">
        <v>2.2599999999999998</v>
      </c>
      <c r="F71" s="1">
        <v>13.34</v>
      </c>
      <c r="I71">
        <v>1</v>
      </c>
      <c r="J71" s="1">
        <v>94.24</v>
      </c>
      <c r="K71" s="1">
        <v>2.7</v>
      </c>
      <c r="L71" s="1">
        <v>70.19</v>
      </c>
    </row>
    <row r="72" spans="2:12" x14ac:dyDescent="0.25">
      <c r="C72">
        <v>1.1000000000000001</v>
      </c>
      <c r="D72" s="1">
        <v>91.38</v>
      </c>
      <c r="E72" s="1">
        <v>2.2200000000000002</v>
      </c>
      <c r="F72" s="1">
        <v>13.87</v>
      </c>
      <c r="I72">
        <v>1.1000000000000001</v>
      </c>
      <c r="J72" s="1">
        <v>98.53</v>
      </c>
      <c r="K72" s="1">
        <v>10.119999999999999</v>
      </c>
      <c r="L72" s="1">
        <v>72.8</v>
      </c>
    </row>
    <row r="73" spans="2:12" x14ac:dyDescent="0.25">
      <c r="C73">
        <v>1.3</v>
      </c>
      <c r="D73" s="1">
        <v>95.77</v>
      </c>
      <c r="E73" s="1">
        <v>1.96</v>
      </c>
      <c r="F73" s="1">
        <v>14.24</v>
      </c>
      <c r="I73">
        <v>1.3</v>
      </c>
      <c r="J73" s="1">
        <v>99.25</v>
      </c>
      <c r="K73" s="1">
        <v>12.11</v>
      </c>
      <c r="L73" s="1">
        <v>74.430000000000007</v>
      </c>
    </row>
  </sheetData>
  <mergeCells count="2">
    <mergeCell ref="B1:F1"/>
    <mergeCell ref="H1:L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图表</vt:lpstr>
      </vt:variant>
      <vt:variant>
        <vt:i4>9</vt:i4>
      </vt:variant>
    </vt:vector>
  </HeadingPairs>
  <TitlesOfParts>
    <vt:vector size="11" baseType="lpstr">
      <vt:lpstr>data</vt:lpstr>
      <vt:lpstr>Sheet2</vt:lpstr>
      <vt:lpstr>200C</vt:lpstr>
      <vt:lpstr>250C</vt:lpstr>
      <vt:lpstr>300C</vt:lpstr>
      <vt:lpstr>350C</vt:lpstr>
      <vt:lpstr>400C</vt:lpstr>
      <vt:lpstr>450C</vt:lpstr>
      <vt:lpstr>500C</vt:lpstr>
      <vt:lpstr>550C</vt:lpstr>
      <vt:lpstr>600C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Lifeng</dc:creator>
  <cp:lastModifiedBy>Administrator</cp:lastModifiedBy>
  <dcterms:created xsi:type="dcterms:W3CDTF">2025-06-17T22:22:27Z</dcterms:created>
  <dcterms:modified xsi:type="dcterms:W3CDTF">2025-09-08T05:50:18Z</dcterms:modified>
</cp:coreProperties>
</file>